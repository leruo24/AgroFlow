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Daily - Tub 1" sheetId="2" r:id="rId2"/>
    <sheet name="Daily - Tub 2" sheetId="3" r:id="rId3"/>
    <sheet name="Daily - Veg Block" sheetId="4" r:id="rId4"/>
    <sheet name="Weather comparison" sheetId="5" r:id="rId5"/>
  </sheets>
</workbook>
</file>

<file path=xl/styles.xml><?xml version="1.0" encoding="utf-8"?>
<styleSheet xmlns="http://schemas.openxmlformats.org/spreadsheetml/2006/main">
  <numFmts count="1">
    <numFmt numFmtId="164" formatCode="0.0"/>
  </numFmts>
  <fonts count="5">
    <font>
      <sz val="11"/>
      <name val="Calibri"/>
      <color rgb="FF222A26"/>
    </font>
    <font>
      <b/>
      <sz val="11"/>
      <name val="Calibri"/>
      <color rgb="FF222A26"/>
    </font>
    <font>
      <b/>
      <sz val="14"/>
      <name val="Calibri"/>
      <color rgb="FF184D35"/>
    </font>
    <font>
      <b/>
      <sz val="11"/>
      <name val="Calibri"/>
      <color rgb="FFFFFFFF"/>
    </font>
    <font>
      <sz val="10"/>
      <name val="Calibri"/>
      <color rgb="FF6B7A72"/>
    </font>
  </fonts>
  <fills count="4">
    <fill>
      <patternFill patternType="none"/>
    </fill>
    <fill>
      <patternFill patternType="gray125"/>
    </fill>
    <fill>
      <patternFill patternType="solid">
        <fgColor rgb="FF184D35"/>
        <bgColor indexed="64"/>
      </patternFill>
    </fill>
    <fill>
      <patternFill patternType="solid">
        <fgColor rgb="FFEDF2E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0" borderId="0" xfId="0" applyFont="1"/>
    <xf numFmtId="0" fontId="4" fillId="0" borderId="0" xfId="0" applyFont="1"/>
    <xf numFmtId="0" fontId="1" fillId="3" borderId="0" xfId="0" applyFont="1" applyFill="1"/>
    <xf numFmtId="0" fontId="3" fillId="2" borderId="0" xfId="0" applyFont="1" applyFill="1"/>
    <xf numFmtId="0" fontId="1" fillId="0" borderId="0" xfId="0" applyFont="1"/>
    <xf numFmtId="164" fontId="0" fillId="0" borderId="0" xfId="0" applyNumberFormat="1"/>
    <xf numFmtId="2" fontId="0" fillId="0" borderId="0" xfId="0" applyNumberFormat="1"/>
    <xf numFmtId="0" fontId="1" fillId="3" borderId="0" xfId="0" applyFont="1" applyFill="1"/>
    <xf numFmtId="164" fontId="1" fillId="3" borderId="0" xfId="0" applyFont="1" applyFill="1" applyNumberFormat="1"/>
    <xf numFmtId="0" fontId="4" fillId="0" borderId="0" xfId="0" applyFont="1"/>
    <xf numFmtId="1" fontId="0" fillId="0" borderId="0" xfId="0" applyNumberFormat="1"/>
    <xf numFmtId="1" fontId="1" fillId="3" borderId="0" xfId="0" applyFont="1" applyFill="1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26" customWidth="1"/>
    <col min="2" max="2" width="40" customWidth="1"/>
    <col min="3" max="3" width="60" customWidth="1"/>
    <col min="4" max="4" width="14" customWidth="1"/>
    <col min="5" max="5" width="13" customWidth="1"/>
    <col min="6" max="6" width="13" customWidth="1"/>
    <col min="7" max="7" width="13" customWidth="1"/>
    <col min="8" max="8" width="13" customWidth="1"/>
  </cols>
  <sheetData>
    <row r="1">
      <c r="A1" s="1" t="inlineStr">
        <is>
          <t xml:space="preserve">AgroFlow — Water Usage Data (all zones)</t>
        </is>
      </c>
    </row>
    <row r="2">
      <c r="A2" s="2" t="inlineStr">
        <is>
          <t xml:space="preserve">Farm: Green Farm</t>
        </is>
      </c>
    </row>
    <row r="3">
      <c r="A3" s="2" t="inlineStr">
        <is>
          <t xml:space="preserve">Period: 4 Feb – 10 Feb 2026   ·   Generated 10 Feb 2026 09:49 SAST</t>
        </is>
      </c>
    </row>
    <row r="5">
      <c r="A5" s="3" t="inlineStr">
        <is>
          <t xml:space="preserve">The whole farm</t>
        </is>
      </c>
      <c r="B5" s="3"/>
      <c r="C5" s="3"/>
      <c r="D5" s="3"/>
      <c r="E5" s="3"/>
      <c r="F5" s="3"/>
      <c r="G5" s="3"/>
      <c r="H5" s="3"/>
    </row>
    <row r="6">
      <c r="A6" s="5" t="inlineStr">
        <is>
          <t xml:space="preserve">Zones</t>
        </is>
      </c>
      <c r="B6" s="11">
        <v>3</v>
      </c>
    </row>
    <row r="7">
      <c r="A7" s="5" t="inlineStr">
        <is>
          <t xml:space="preserve">Pump runs</t>
        </is>
      </c>
      <c r="B7" s="11">
        <v>21</v>
      </c>
    </row>
    <row r="8">
      <c r="A8" s="5" t="inlineStr">
        <is>
          <t xml:space="preserve">Total pump minutes</t>
        </is>
      </c>
      <c r="B8" s="6">
        <v>42</v>
      </c>
    </row>
    <row r="10">
      <c r="A10" s="4" t="inlineStr">
        <is>
          <t xml:space="preserve">Zone</t>
        </is>
      </c>
      <c r="B10" s="4" t="inlineStr">
        <is>
          <t xml:space="preserve">Crop</t>
        </is>
      </c>
      <c r="C10" s="4" t="inlineStr">
        <is>
          <t xml:space="preserve">Growth stage</t>
        </is>
      </c>
      <c r="D10" s="4" t="inlineStr">
        <is>
          <t xml:space="preserve">Pump minutes</t>
        </is>
      </c>
      <c r="E10" s="4" t="inlineStr">
        <is>
          <t xml:space="preserve">Flow rate (L/min)</t>
        </is>
      </c>
      <c r="F10" s="4" t="inlineStr">
        <is>
          <t xml:space="preserve">Litres (est.)</t>
        </is>
      </c>
      <c r="G10" s="4" t="inlineStr">
        <is>
          <t xml:space="preserve">Crop need (L)</t>
        </is>
      </c>
      <c r="H10" s="4" t="inlineStr">
        <is>
          <t xml:space="preserve">Days too dry</t>
        </is>
      </c>
    </row>
    <row r="11">
      <c r="A11" s="0" t="inlineStr">
        <is>
          <t xml:space="preserve">Tub 1</t>
        </is>
      </c>
      <c r="B11" s="0" t="inlineStr">
        <is>
          <t xml:space="preserve">Tomato</t>
        </is>
      </c>
      <c r="C11" s="0" t="inlineStr">
        <is>
          <t xml:space="preserve">Not known</t>
        </is>
      </c>
      <c r="D11" s="6">
        <v>14</v>
      </c>
      <c r="E11" s="0"/>
      <c r="F11" s="6">
        <f>IFERROR(D12*E12,"")</f>
      </c>
      <c r="G11" s="0"/>
      <c r="H11" s="11">
        <v>0</v>
      </c>
    </row>
    <row r="12">
      <c r="A12" s="0" t="inlineStr">
        <is>
          <t xml:space="preserve">Tub 2</t>
        </is>
      </c>
      <c r="B12" s="0" t="inlineStr">
        <is>
          <t xml:space="preserve">Tomato</t>
        </is>
      </c>
      <c r="C12" s="0" t="inlineStr">
        <is>
          <t xml:space="preserve">Not known</t>
        </is>
      </c>
      <c r="D12" s="6">
        <v>14</v>
      </c>
      <c r="E12" s="0"/>
      <c r="F12" s="6">
        <f>IFERROR(D13*E13,"")</f>
      </c>
      <c r="G12" s="0"/>
      <c r="H12" s="11">
        <v>0</v>
      </c>
    </row>
    <row r="13">
      <c r="A13" s="0" t="inlineStr">
        <is>
          <t xml:space="preserve">Veg Block</t>
        </is>
      </c>
      <c r="B13" s="0" t="inlineStr">
        <is>
          <t xml:space="preserve">Tomato</t>
        </is>
      </c>
      <c r="C13" s="0" t="inlineStr">
        <is>
          <t xml:space="preserve">Not known</t>
        </is>
      </c>
      <c r="D13" s="6">
        <v>14</v>
      </c>
      <c r="E13" s="0"/>
      <c r="F13" s="6">
        <f>IFERROR(D14*E14,"")</f>
      </c>
      <c r="G13" s="0"/>
      <c r="H13" s="11">
        <v>0</v>
      </c>
    </row>
    <row r="14">
      <c r="A14" s="8" t="inlineStr">
        <is>
          <t xml:space="preserve">Whole farm</t>
        </is>
      </c>
      <c r="B14" s="8"/>
      <c r="C14" s="8"/>
      <c r="D14" s="9">
        <f>SUM(D12:D14)</f>
      </c>
      <c r="E14" s="8"/>
      <c r="F14" s="9">
        <f>SUM(F12:F14)</f>
      </c>
      <c r="G14" s="9">
        <f>SUM(G12:G14)</f>
      </c>
      <c r="H14" s="12">
        <f>SUM(H12:H14)</f>
      </c>
    </row>
    <row r="16">
      <c r="A16" s="3" t="inlineStr">
        <is>
          <t xml:space="preserve">Notes</t>
        </is>
      </c>
      <c r="B16" s="3"/>
      <c r="C16" s="3"/>
      <c r="D16" s="3"/>
      <c r="E16" s="3"/>
      <c r="F16" s="3"/>
      <c r="G16" s="3"/>
      <c r="H16" s="3"/>
    </row>
    <row r="17">
      <c r="A17" s="10" t="inlineStr">
        <is>
          <t xml:space="preserve">The flow rate column above is the one to change. Every Litres figure here and on each zone's sheet is calculated from it, so correcting a pump's rate corrects the whole workbook.</t>
        </is>
      </c>
    </row>
    <row r="18">
      <c r="A18" s="10" t="inlineStr">
        <is>
          <t xml:space="preserve">Litres are estimated: pump minutes × flow rate. There is no flow meter on any AgroFlow node.</t>
        </is>
      </c>
    </row>
    <row r="19">
      <c r="A19" s="10" t="inlineStr">
        <is>
          <t xml:space="preserve">Crop water need comes from the FAO-56 method (weather app + crop growth stage) × the zone's area.</t>
        </is>
      </c>
    </row>
    <row r="20">
      <c r="A20" s="10" t="inlineStr">
        <is>
          <t xml:space="preserve">An empty cell means the figure could not be worked out, which is not the same as zero.</t>
        </is>
      </c>
    </row>
    <row r="22">
      <c r="A22" s="5" t="inlineStr">
        <is>
          <t xml:space="preserve">No flow rate on file for: Tub 1, Tub 2, Veg Block. Those zones are not in the farm's water total. Type a rate into column E and they will be.</t>
        </is>
      </c>
    </row>
    <row r="24">
      <c r="A24" s="3" t="inlineStr">
        <is>
          <t xml:space="preserve">Advice</t>
        </is>
      </c>
      <c r="B24" s="3"/>
      <c r="C24" s="3"/>
    </row>
    <row r="25">
      <c r="A25" s="4" t="inlineStr">
        <is>
          <t xml:space="preserve">Zone</t>
        </is>
      </c>
      <c r="B25" s="4" t="inlineStr">
        <is>
          <t xml:space="preserve">Advice</t>
        </is>
      </c>
      <c r="C25" s="4" t="inlineStr">
        <is>
          <t xml:space="preserve">Why</t>
        </is>
      </c>
    </row>
    <row r="26">
      <c r="A26" s="0" t="inlineStr">
        <is>
          <t xml:space="preserve">Tub 1</t>
        </is>
      </c>
      <c r="B26" s="0" t="inlineStr">
        <is>
          <t xml:space="preserve">Add the planting date for advice that follows your crop's growth.</t>
        </is>
      </c>
      <c r="C26" s="10" t="inlineStr">
        <is>
          <t xml:space="preserve">The advice for Tub 1 would be more accurate with one more detail.</t>
        </is>
      </c>
    </row>
    <row r="27">
      <c r="A27" s="0" t="inlineStr">
        <is>
          <t xml:space="preserve">Tub 1</t>
        </is>
      </c>
      <c r="B27" s="0" t="inlineStr">
        <is>
          <t xml:space="preserve">Water Tub 1 now. Give about 36 mm (36 L per square metre).</t>
        </is>
      </c>
      <c r="C27" s="10" t="inlineStr">
        <is>
          <t xml:space="preserve">Your soil has dried to the point where tomato starts to struggle, and no rain is expected today.</t>
        </is>
      </c>
    </row>
    <row r="28">
      <c r="A28" s="0" t="inlineStr">
        <is>
          <t xml:space="preserve">Tub 1</t>
        </is>
      </c>
      <c r="B28" s="0" t="inlineStr">
        <is>
          <t xml:space="preserve">Tomato: assumed peak growth (no planting date yet).</t>
        </is>
      </c>
      <c r="C28" s="10" t="inlineStr">
        <is>
          <t xml:space="preserve">We don't know when tomato was planted, so we assume it is at peak growth, when it uses the most water.</t>
        </is>
      </c>
    </row>
    <row r="29">
      <c r="A29" s="0" t="inlineStr">
        <is>
          <t xml:space="preserve">Tub 1</t>
        </is>
      </c>
      <c r="B29" s="0" t="inlineStr">
        <is>
          <t xml:space="preserve">Tub 1 was too dry on 7 day(s) this week.</t>
        </is>
      </c>
      <c r="C29" s="10" t="inlineStr">
        <is>
          <t xml:space="preserve">On 7 day(s) this week the soil was drier than tomato can easily draw water from.</t>
        </is>
      </c>
    </row>
    <row r="30">
      <c r="A30" s="0" t="inlineStr">
        <is>
          <t xml:space="preserve">Tub 2</t>
        </is>
      </c>
      <c r="B30" s="0" t="inlineStr">
        <is>
          <t xml:space="preserve">Add the planting date for advice that follows your crop's growth.</t>
        </is>
      </c>
      <c r="C30" s="10" t="inlineStr">
        <is>
          <t xml:space="preserve">The advice for Tub 2 would be more accurate with one more detail.</t>
        </is>
      </c>
    </row>
    <row r="31">
      <c r="A31" s="0" t="inlineStr">
        <is>
          <t xml:space="preserve">Tub 2</t>
        </is>
      </c>
      <c r="B31" s="0" t="inlineStr">
        <is>
          <t xml:space="preserve">Water Tub 2 now. Give about 36 mm (36 L per square metre).</t>
        </is>
      </c>
      <c r="C31" s="10" t="inlineStr">
        <is>
          <t xml:space="preserve">Your soil has dried to the point where tomato starts to struggle, and no rain is expected today.</t>
        </is>
      </c>
    </row>
    <row r="32">
      <c r="A32" s="0" t="inlineStr">
        <is>
          <t xml:space="preserve">Tub 2</t>
        </is>
      </c>
      <c r="B32" s="0" t="inlineStr">
        <is>
          <t xml:space="preserve">Tomato: assumed peak growth (no planting date yet).</t>
        </is>
      </c>
      <c r="C32" s="10" t="inlineStr">
        <is>
          <t xml:space="preserve">We don't know when tomato was planted, so we assume it is at peak growth, when it uses the most water.</t>
        </is>
      </c>
    </row>
    <row r="33">
      <c r="A33" s="0" t="inlineStr">
        <is>
          <t xml:space="preserve">Tub 2</t>
        </is>
      </c>
      <c r="B33" s="0" t="inlineStr">
        <is>
          <t xml:space="preserve">Tub 2 was too dry on 7 day(s) this week.</t>
        </is>
      </c>
      <c r="C33" s="10" t="inlineStr">
        <is>
          <t xml:space="preserve">On 7 day(s) this week the soil was drier than tomato can easily draw water from.</t>
        </is>
      </c>
    </row>
    <row r="34">
      <c r="A34" s="0" t="inlineStr">
        <is>
          <t xml:space="preserve">Veg Block</t>
        </is>
      </c>
      <c r="B34" s="0" t="inlineStr">
        <is>
          <t xml:space="preserve">Add the planting date for advice that follows your crop's growth.</t>
        </is>
      </c>
      <c r="C34" s="10" t="inlineStr">
        <is>
          <t xml:space="preserve">The advice for Veg Block would be more accurate with one more detail.</t>
        </is>
      </c>
    </row>
    <row r="35">
      <c r="A35" s="0" t="inlineStr">
        <is>
          <t xml:space="preserve">Veg Block</t>
        </is>
      </c>
      <c r="B35" s="0" t="inlineStr">
        <is>
          <t xml:space="preserve">Veg Block will need water in ~2 days (Thursday).</t>
        </is>
      </c>
      <c r="C35" s="10" t="inlineStr">
        <is>
          <t xml:space="preserve">At the rate tomato is using water, the soil will reach its watering point in about 2 days.</t>
        </is>
      </c>
    </row>
    <row r="36">
      <c r="A36" s="0" t="inlineStr">
        <is>
          <t xml:space="preserve">Veg Block</t>
        </is>
      </c>
      <c r="B36" s="0" t="inlineStr">
        <is>
          <t xml:space="preserve">Tomato: assumed peak growth (no planting date yet).</t>
        </is>
      </c>
      <c r="C36" s="10" t="inlineStr">
        <is>
          <t xml:space="preserve">We don't know when tomato was planted, so we assume it is at peak growth, when it uses the most water.</t>
        </is>
      </c>
    </row>
  </sheetData>
</worksheet>
</file>

<file path=xl/worksheets/sheet2.xml><?xml version="1.0" encoding="utf-8"?>
<worksheet xmlns="http://schemas.openxmlformats.org/spreadsheetml/2006/main">
  <cols>
    <col min="1" max="1" width="16" customWidth="1"/>
    <col min="2" max="2" width="11" customWidth="1"/>
    <col min="3" max="3" width="13" customWidth="1"/>
    <col min="4" max="4" width="13" customWidth="1"/>
    <col min="5" max="5" width="16" customWidth="1"/>
    <col min="6" max="6" width="17" customWidth="1"/>
    <col min="7" max="7" width="14" customWidth="1"/>
    <col min="8" max="8" width="13" customWidth="1"/>
    <col min="9" max="9" width="16" customWidth="1"/>
    <col min="10" max="10" width="15" customWidth="1"/>
    <col min="11" max="11" width="10" customWidth="1"/>
    <col min="12" max="12" width="26" customWidth="1"/>
  </cols>
  <sheetData>
    <row r="1">
      <c r="A1" s="1" t="inlineStr">
        <is>
          <t xml:space="preserve">Daily data — Tub 1 (Tomato)</t>
        </is>
      </c>
    </row>
    <row r="2">
      <c r="A2" s="10" t="inlineStr">
        <is>
          <t xml:space="preserve">Litres (est.) is calculated: pump minutes × this zone's flow rate on the Summary sheet. Change the rate there and this column follows.</t>
        </is>
      </c>
    </row>
    <row r="4">
      <c r="A4" s="4" t="inlineStr">
        <is>
          <t xml:space="preserve">Date</t>
        </is>
      </c>
      <c r="B4" s="4" t="inlineStr">
        <is>
          <t xml:space="preserve">Pump runs</t>
        </is>
      </c>
      <c r="C4" s="4" t="inlineStr">
        <is>
          <t xml:space="preserve">Pump minutes</t>
        </is>
      </c>
      <c r="D4" s="4" t="inlineStr">
        <is>
          <t xml:space="preserve">Litres (est.)</t>
        </is>
      </c>
      <c r="E4" s="4" t="inlineStr">
        <is>
          <t xml:space="preserve">Crop water need (L)</t>
        </is>
      </c>
      <c r="F4" s="4" t="inlineStr">
        <is>
          <t xml:space="preserve">Avg soil moisture (%)</t>
        </is>
      </c>
      <c r="G4" s="4" t="inlineStr">
        <is>
          <t xml:space="preserve">Area max temp (°C)</t>
        </is>
      </c>
      <c r="H4" s="4" t="inlineStr">
        <is>
          <t xml:space="preserve">Tub max temp (°C)</t>
        </is>
      </c>
      <c r="I4" s="4" t="inlineStr">
        <is>
          <t xml:space="preserve">Area humidity (%)</t>
        </is>
      </c>
      <c r="J4" s="4" t="inlineStr">
        <is>
          <t xml:space="preserve">Tub humidity (%)</t>
        </is>
      </c>
      <c r="K4" s="4" t="inlineStr">
        <is>
          <t xml:space="preserve">Rain (mm)</t>
        </is>
      </c>
      <c r="L4" s="4" t="inlineStr">
        <is>
          <t xml:space="preserve">Note</t>
        </is>
      </c>
    </row>
    <row r="5">
      <c r="A5" s="0" t="inlineStr">
        <is>
          <t xml:space="preserve">Wed 4 Feb</t>
        </is>
      </c>
      <c r="B5" s="11">
        <v>1</v>
      </c>
      <c r="C5" s="6">
        <v>2</v>
      </c>
      <c r="D5" s="7">
        <f>IFERROR(C5*Summary!$E$12,"")</f>
      </c>
      <c r="E5" s="0"/>
      <c r="F5" s="0"/>
      <c r="G5" s="6">
        <v>27</v>
      </c>
      <c r="H5" s="0"/>
      <c r="I5" s="6">
        <v>55</v>
      </c>
      <c r="J5" s="0"/>
      <c r="K5" s="6">
        <v>0</v>
      </c>
      <c r="L5" s="0"/>
    </row>
    <row r="6">
      <c r="A6" s="0" t="inlineStr">
        <is>
          <t xml:space="preserve">Thu 5 Feb</t>
        </is>
      </c>
      <c r="B6" s="11">
        <v>1</v>
      </c>
      <c r="C6" s="6">
        <v>2</v>
      </c>
      <c r="D6" s="7">
        <f>IFERROR(C6*Summary!$E$12,"")</f>
      </c>
      <c r="E6" s="0"/>
      <c r="F6" s="0"/>
      <c r="G6" s="6">
        <v>27</v>
      </c>
      <c r="H6" s="0"/>
      <c r="I6" s="6">
        <v>55</v>
      </c>
      <c r="J6" s="0"/>
      <c r="K6" s="6">
        <v>0</v>
      </c>
      <c r="L6" s="0"/>
    </row>
    <row r="7">
      <c r="A7" s="0" t="inlineStr">
        <is>
          <t xml:space="preserve">Fri 6 Feb</t>
        </is>
      </c>
      <c r="B7" s="11">
        <v>1</v>
      </c>
      <c r="C7" s="6">
        <v>2</v>
      </c>
      <c r="D7" s="7">
        <f>IFERROR(C7*Summary!$E$12,"")</f>
      </c>
      <c r="E7" s="0"/>
      <c r="F7" s="0"/>
      <c r="G7" s="6">
        <v>27</v>
      </c>
      <c r="H7" s="0"/>
      <c r="I7" s="6">
        <v>55</v>
      </c>
      <c r="J7" s="0"/>
      <c r="K7" s="6">
        <v>0</v>
      </c>
      <c r="L7" s="0"/>
    </row>
    <row r="8">
      <c r="A8" s="0" t="inlineStr">
        <is>
          <t xml:space="preserve">Sat 7 Feb</t>
        </is>
      </c>
      <c r="B8" s="11">
        <v>1</v>
      </c>
      <c r="C8" s="6">
        <v>2</v>
      </c>
      <c r="D8" s="7">
        <f>IFERROR(C8*Summary!$E$12,"")</f>
      </c>
      <c r="E8" s="0"/>
      <c r="F8" s="0"/>
      <c r="G8" s="6">
        <v>27</v>
      </c>
      <c r="H8" s="0"/>
      <c r="I8" s="6">
        <v>55</v>
      </c>
      <c r="J8" s="0"/>
      <c r="K8" s="6">
        <v>0</v>
      </c>
      <c r="L8" s="0"/>
    </row>
    <row r="9">
      <c r="A9" s="0" t="inlineStr">
        <is>
          <t xml:space="preserve">Sun 8 Feb</t>
        </is>
      </c>
      <c r="B9" s="11">
        <v>1</v>
      </c>
      <c r="C9" s="6">
        <v>2</v>
      </c>
      <c r="D9" s="7">
        <f>IFERROR(C9*Summary!$E$12,"")</f>
      </c>
      <c r="E9" s="0"/>
      <c r="F9" s="0"/>
      <c r="G9" s="6">
        <v>27</v>
      </c>
      <c r="H9" s="0"/>
      <c r="I9" s="6">
        <v>55</v>
      </c>
      <c r="J9" s="0"/>
      <c r="K9" s="6">
        <v>0</v>
      </c>
      <c r="L9" s="0"/>
    </row>
    <row r="10">
      <c r="A10" s="0" t="inlineStr">
        <is>
          <t xml:space="preserve">Mon 9 Feb</t>
        </is>
      </c>
      <c r="B10" s="11">
        <v>1</v>
      </c>
      <c r="C10" s="6">
        <v>2</v>
      </c>
      <c r="D10" s="7">
        <f>IFERROR(C10*Summary!$E$12,"")</f>
      </c>
      <c r="E10" s="0"/>
      <c r="F10" s="0"/>
      <c r="G10" s="6">
        <v>27</v>
      </c>
      <c r="H10" s="0"/>
      <c r="I10" s="6">
        <v>55</v>
      </c>
      <c r="J10" s="0"/>
      <c r="K10" s="6">
        <v>0</v>
      </c>
      <c r="L10" s="0"/>
    </row>
    <row r="11">
      <c r="A11" s="0" t="inlineStr">
        <is>
          <t xml:space="preserve">Tue 10 Feb</t>
        </is>
      </c>
      <c r="B11" s="11">
        <v>1</v>
      </c>
      <c r="C11" s="6">
        <v>2</v>
      </c>
      <c r="D11" s="7">
        <f>IFERROR(C11*Summary!$E$12,"")</f>
      </c>
      <c r="E11" s="0"/>
      <c r="F11" s="0"/>
      <c r="G11" s="6">
        <v>27</v>
      </c>
      <c r="H11" s="0"/>
      <c r="I11" s="6">
        <v>55</v>
      </c>
      <c r="J11" s="0"/>
      <c r="K11" s="6">
        <v>0</v>
      </c>
      <c r="L11" s="0"/>
    </row>
    <row r="12">
      <c r="A12" s="8" t="inlineStr">
        <is>
          <t xml:space="preserve">Week total / average</t>
        </is>
      </c>
      <c r="B12" s="12">
        <f>SUM(B5:B11)</f>
      </c>
      <c r="C12" s="9">
        <f>SUM(C5:C11)</f>
      </c>
      <c r="D12" s="9">
        <f>SUM(D5:D11)</f>
      </c>
      <c r="E12" s="9">
        <f>SUM(E5:E11)</f>
      </c>
      <c r="F12" s="9">
        <f>IFERROR(AVERAGE(F5:F11),"")</f>
      </c>
      <c r="G12" s="9">
        <f>IFERROR(AVERAGE(G5:G11),"")</f>
      </c>
      <c r="H12" s="9">
        <f>IFERROR(AVERAGE(H5:H11),"")</f>
      </c>
      <c r="I12" s="9">
        <f>IFERROR(AVERAGE(I5:I11),"")</f>
      </c>
      <c r="J12" s="9">
        <f>IFERROR(AVERAGE(J5:J11),"")</f>
      </c>
      <c r="K12" s="9">
        <f>SUM(K5:K11)</f>
      </c>
      <c r="L12" s="8"/>
    </row>
  </sheetData>
</worksheet>
</file>

<file path=xl/worksheets/sheet3.xml><?xml version="1.0" encoding="utf-8"?>
<worksheet xmlns="http://schemas.openxmlformats.org/spreadsheetml/2006/main">
  <cols>
    <col min="1" max="1" width="16" customWidth="1"/>
    <col min="2" max="2" width="11" customWidth="1"/>
    <col min="3" max="3" width="13" customWidth="1"/>
    <col min="4" max="4" width="13" customWidth="1"/>
    <col min="5" max="5" width="16" customWidth="1"/>
    <col min="6" max="6" width="17" customWidth="1"/>
    <col min="7" max="7" width="14" customWidth="1"/>
    <col min="8" max="8" width="13" customWidth="1"/>
    <col min="9" max="9" width="16" customWidth="1"/>
    <col min="10" max="10" width="15" customWidth="1"/>
    <col min="11" max="11" width="10" customWidth="1"/>
    <col min="12" max="12" width="26" customWidth="1"/>
  </cols>
  <sheetData>
    <row r="1">
      <c r="A1" s="1" t="inlineStr">
        <is>
          <t xml:space="preserve">Daily data — Tub 2 (Tomato)</t>
        </is>
      </c>
    </row>
    <row r="2">
      <c r="A2" s="10" t="inlineStr">
        <is>
          <t xml:space="preserve">Litres (est.) is calculated: pump minutes × this zone's flow rate on the Summary sheet. Change the rate there and this column follows.</t>
        </is>
      </c>
    </row>
    <row r="4">
      <c r="A4" s="4" t="inlineStr">
        <is>
          <t xml:space="preserve">Date</t>
        </is>
      </c>
      <c r="B4" s="4" t="inlineStr">
        <is>
          <t xml:space="preserve">Pump runs</t>
        </is>
      </c>
      <c r="C4" s="4" t="inlineStr">
        <is>
          <t xml:space="preserve">Pump minutes</t>
        </is>
      </c>
      <c r="D4" s="4" t="inlineStr">
        <is>
          <t xml:space="preserve">Litres (est.)</t>
        </is>
      </c>
      <c r="E4" s="4" t="inlineStr">
        <is>
          <t xml:space="preserve">Crop water need (L)</t>
        </is>
      </c>
      <c r="F4" s="4" t="inlineStr">
        <is>
          <t xml:space="preserve">Avg soil moisture (%)</t>
        </is>
      </c>
      <c r="G4" s="4" t="inlineStr">
        <is>
          <t xml:space="preserve">Area max temp (°C)</t>
        </is>
      </c>
      <c r="H4" s="4" t="inlineStr">
        <is>
          <t xml:space="preserve">Tub max temp (°C)</t>
        </is>
      </c>
      <c r="I4" s="4" t="inlineStr">
        <is>
          <t xml:space="preserve">Area humidity (%)</t>
        </is>
      </c>
      <c r="J4" s="4" t="inlineStr">
        <is>
          <t xml:space="preserve">Tub humidity (%)</t>
        </is>
      </c>
      <c r="K4" s="4" t="inlineStr">
        <is>
          <t xml:space="preserve">Rain (mm)</t>
        </is>
      </c>
      <c r="L4" s="4" t="inlineStr">
        <is>
          <t xml:space="preserve">Note</t>
        </is>
      </c>
    </row>
    <row r="5">
      <c r="A5" s="0" t="inlineStr">
        <is>
          <t xml:space="preserve">Wed 4 Feb</t>
        </is>
      </c>
      <c r="B5" s="11">
        <v>1</v>
      </c>
      <c r="C5" s="6">
        <v>2</v>
      </c>
      <c r="D5" s="7">
        <f>IFERROR(C5*Summary!$E$13,"")</f>
      </c>
      <c r="E5" s="0"/>
      <c r="F5" s="0"/>
      <c r="G5" s="6">
        <v>27</v>
      </c>
      <c r="H5" s="0"/>
      <c r="I5" s="6">
        <v>55</v>
      </c>
      <c r="J5" s="0"/>
      <c r="K5" s="6">
        <v>0</v>
      </c>
      <c r="L5" s="0"/>
    </row>
    <row r="6">
      <c r="A6" s="0" t="inlineStr">
        <is>
          <t xml:space="preserve">Thu 5 Feb</t>
        </is>
      </c>
      <c r="B6" s="11">
        <v>1</v>
      </c>
      <c r="C6" s="6">
        <v>2</v>
      </c>
      <c r="D6" s="7">
        <f>IFERROR(C6*Summary!$E$13,"")</f>
      </c>
      <c r="E6" s="0"/>
      <c r="F6" s="0"/>
      <c r="G6" s="6">
        <v>27</v>
      </c>
      <c r="H6" s="0"/>
      <c r="I6" s="6">
        <v>55</v>
      </c>
      <c r="J6" s="0"/>
      <c r="K6" s="6">
        <v>0</v>
      </c>
      <c r="L6" s="0"/>
    </row>
    <row r="7">
      <c r="A7" s="0" t="inlineStr">
        <is>
          <t xml:space="preserve">Fri 6 Feb</t>
        </is>
      </c>
      <c r="B7" s="11">
        <v>1</v>
      </c>
      <c r="C7" s="6">
        <v>2</v>
      </c>
      <c r="D7" s="7">
        <f>IFERROR(C7*Summary!$E$13,"")</f>
      </c>
      <c r="E7" s="0"/>
      <c r="F7" s="0"/>
      <c r="G7" s="6">
        <v>27</v>
      </c>
      <c r="H7" s="0"/>
      <c r="I7" s="6">
        <v>55</v>
      </c>
      <c r="J7" s="0"/>
      <c r="K7" s="6">
        <v>0</v>
      </c>
      <c r="L7" s="0"/>
    </row>
    <row r="8">
      <c r="A8" s="0" t="inlineStr">
        <is>
          <t xml:space="preserve">Sat 7 Feb</t>
        </is>
      </c>
      <c r="B8" s="11">
        <v>1</v>
      </c>
      <c r="C8" s="6">
        <v>2</v>
      </c>
      <c r="D8" s="7">
        <f>IFERROR(C8*Summary!$E$13,"")</f>
      </c>
      <c r="E8" s="0"/>
      <c r="F8" s="0"/>
      <c r="G8" s="6">
        <v>27</v>
      </c>
      <c r="H8" s="0"/>
      <c r="I8" s="6">
        <v>55</v>
      </c>
      <c r="J8" s="0"/>
      <c r="K8" s="6">
        <v>0</v>
      </c>
      <c r="L8" s="0"/>
    </row>
    <row r="9">
      <c r="A9" s="0" t="inlineStr">
        <is>
          <t xml:space="preserve">Sun 8 Feb</t>
        </is>
      </c>
      <c r="B9" s="11">
        <v>1</v>
      </c>
      <c r="C9" s="6">
        <v>2</v>
      </c>
      <c r="D9" s="7">
        <f>IFERROR(C9*Summary!$E$13,"")</f>
      </c>
      <c r="E9" s="0"/>
      <c r="F9" s="0"/>
      <c r="G9" s="6">
        <v>27</v>
      </c>
      <c r="H9" s="0"/>
      <c r="I9" s="6">
        <v>55</v>
      </c>
      <c r="J9" s="0"/>
      <c r="K9" s="6">
        <v>0</v>
      </c>
      <c r="L9" s="0"/>
    </row>
    <row r="10">
      <c r="A10" s="0" t="inlineStr">
        <is>
          <t xml:space="preserve">Mon 9 Feb</t>
        </is>
      </c>
      <c r="B10" s="11">
        <v>1</v>
      </c>
      <c r="C10" s="6">
        <v>2</v>
      </c>
      <c r="D10" s="7">
        <f>IFERROR(C10*Summary!$E$13,"")</f>
      </c>
      <c r="E10" s="0"/>
      <c r="F10" s="0"/>
      <c r="G10" s="6">
        <v>27</v>
      </c>
      <c r="H10" s="0"/>
      <c r="I10" s="6">
        <v>55</v>
      </c>
      <c r="J10" s="0"/>
      <c r="K10" s="6">
        <v>0</v>
      </c>
      <c r="L10" s="0"/>
    </row>
    <row r="11">
      <c r="A11" s="0" t="inlineStr">
        <is>
          <t xml:space="preserve">Tue 10 Feb</t>
        </is>
      </c>
      <c r="B11" s="11">
        <v>1</v>
      </c>
      <c r="C11" s="6">
        <v>2</v>
      </c>
      <c r="D11" s="7">
        <f>IFERROR(C11*Summary!$E$13,"")</f>
      </c>
      <c r="E11" s="0"/>
      <c r="F11" s="0"/>
      <c r="G11" s="6">
        <v>27</v>
      </c>
      <c r="H11" s="0"/>
      <c r="I11" s="6">
        <v>55</v>
      </c>
      <c r="J11" s="0"/>
      <c r="K11" s="6">
        <v>0</v>
      </c>
      <c r="L11" s="0"/>
    </row>
    <row r="12">
      <c r="A12" s="8" t="inlineStr">
        <is>
          <t xml:space="preserve">Week total / average</t>
        </is>
      </c>
      <c r="B12" s="12">
        <f>SUM(B5:B11)</f>
      </c>
      <c r="C12" s="9">
        <f>SUM(C5:C11)</f>
      </c>
      <c r="D12" s="9">
        <f>SUM(D5:D11)</f>
      </c>
      <c r="E12" s="9">
        <f>SUM(E5:E11)</f>
      </c>
      <c r="F12" s="9">
        <f>IFERROR(AVERAGE(F5:F11),"")</f>
      </c>
      <c r="G12" s="9">
        <f>IFERROR(AVERAGE(G5:G11),"")</f>
      </c>
      <c r="H12" s="9">
        <f>IFERROR(AVERAGE(H5:H11),"")</f>
      </c>
      <c r="I12" s="9">
        <f>IFERROR(AVERAGE(I5:I11),"")</f>
      </c>
      <c r="J12" s="9">
        <f>IFERROR(AVERAGE(J5:J11),"")</f>
      </c>
      <c r="K12" s="9">
        <f>SUM(K5:K11)</f>
      </c>
      <c r="L12" s="8"/>
    </row>
  </sheetData>
</worksheet>
</file>

<file path=xl/worksheets/sheet4.xml><?xml version="1.0" encoding="utf-8"?>
<worksheet xmlns="http://schemas.openxmlformats.org/spreadsheetml/2006/main">
  <cols>
    <col min="1" max="1" width="16" customWidth="1"/>
    <col min="2" max="2" width="11" customWidth="1"/>
    <col min="3" max="3" width="13" customWidth="1"/>
    <col min="4" max="4" width="13" customWidth="1"/>
    <col min="5" max="5" width="16" customWidth="1"/>
    <col min="6" max="6" width="17" customWidth="1"/>
    <col min="7" max="7" width="14" customWidth="1"/>
    <col min="8" max="8" width="13" customWidth="1"/>
    <col min="9" max="9" width="16" customWidth="1"/>
    <col min="10" max="10" width="15" customWidth="1"/>
    <col min="11" max="11" width="10" customWidth="1"/>
    <col min="12" max="12" width="26" customWidth="1"/>
  </cols>
  <sheetData>
    <row r="1">
      <c r="A1" s="1" t="inlineStr">
        <is>
          <t xml:space="preserve">Daily data — Veg Block (Tomato)</t>
        </is>
      </c>
    </row>
    <row r="2">
      <c r="A2" s="10" t="inlineStr">
        <is>
          <t xml:space="preserve">Litres (est.) is calculated: pump minutes × this zone's flow rate on the Summary sheet. Change the rate there and this column follows.</t>
        </is>
      </c>
    </row>
    <row r="4">
      <c r="A4" s="4" t="inlineStr">
        <is>
          <t xml:space="preserve">Date</t>
        </is>
      </c>
      <c r="B4" s="4" t="inlineStr">
        <is>
          <t xml:space="preserve">Pump runs</t>
        </is>
      </c>
      <c r="C4" s="4" t="inlineStr">
        <is>
          <t xml:space="preserve">Pump minutes</t>
        </is>
      </c>
      <c r="D4" s="4" t="inlineStr">
        <is>
          <t xml:space="preserve">Litres (est.)</t>
        </is>
      </c>
      <c r="E4" s="4" t="inlineStr">
        <is>
          <t xml:space="preserve">Crop water need (L)</t>
        </is>
      </c>
      <c r="F4" s="4" t="inlineStr">
        <is>
          <t xml:space="preserve">Avg soil moisture (%)</t>
        </is>
      </c>
      <c r="G4" s="4" t="inlineStr">
        <is>
          <t xml:space="preserve">Area max temp (°C)</t>
        </is>
      </c>
      <c r="H4" s="4" t="inlineStr">
        <is>
          <t xml:space="preserve">Tub max temp (°C)</t>
        </is>
      </c>
      <c r="I4" s="4" t="inlineStr">
        <is>
          <t xml:space="preserve">Area humidity (%)</t>
        </is>
      </c>
      <c r="J4" s="4" t="inlineStr">
        <is>
          <t xml:space="preserve">Tub humidity (%)</t>
        </is>
      </c>
      <c r="K4" s="4" t="inlineStr">
        <is>
          <t xml:space="preserve">Rain (mm)</t>
        </is>
      </c>
      <c r="L4" s="4" t="inlineStr">
        <is>
          <t xml:space="preserve">Note</t>
        </is>
      </c>
    </row>
    <row r="5">
      <c r="A5" s="0" t="inlineStr">
        <is>
          <t xml:space="preserve">Wed 4 Feb</t>
        </is>
      </c>
      <c r="B5" s="11">
        <v>1</v>
      </c>
      <c r="C5" s="6">
        <v>2</v>
      </c>
      <c r="D5" s="7">
        <f>IFERROR(C5*Summary!$E$14,"")</f>
      </c>
      <c r="E5" s="0"/>
      <c r="F5" s="0"/>
      <c r="G5" s="6">
        <v>27</v>
      </c>
      <c r="H5" s="0"/>
      <c r="I5" s="6">
        <v>55</v>
      </c>
      <c r="J5" s="0"/>
      <c r="K5" s="6">
        <v>6</v>
      </c>
      <c r="L5" s="0"/>
    </row>
    <row r="6">
      <c r="A6" s="0" t="inlineStr">
        <is>
          <t xml:space="preserve">Thu 5 Feb</t>
        </is>
      </c>
      <c r="B6" s="11">
        <v>1</v>
      </c>
      <c r="C6" s="6">
        <v>2</v>
      </c>
      <c r="D6" s="7">
        <f>IFERROR(C6*Summary!$E$14,"")</f>
      </c>
      <c r="E6" s="0"/>
      <c r="F6" s="0"/>
      <c r="G6" s="6">
        <v>27</v>
      </c>
      <c r="H6" s="0"/>
      <c r="I6" s="6">
        <v>55</v>
      </c>
      <c r="J6" s="0"/>
      <c r="K6" s="6">
        <v>6</v>
      </c>
      <c r="L6" s="0"/>
    </row>
    <row r="7">
      <c r="A7" s="0" t="inlineStr">
        <is>
          <t xml:space="preserve">Fri 6 Feb</t>
        </is>
      </c>
      <c r="B7" s="11">
        <v>1</v>
      </c>
      <c r="C7" s="6">
        <v>2</v>
      </c>
      <c r="D7" s="7">
        <f>IFERROR(C7*Summary!$E$14,"")</f>
      </c>
      <c r="E7" s="0"/>
      <c r="F7" s="0"/>
      <c r="G7" s="6">
        <v>27</v>
      </c>
      <c r="H7" s="0"/>
      <c r="I7" s="6">
        <v>55</v>
      </c>
      <c r="J7" s="0"/>
      <c r="K7" s="6">
        <v>6</v>
      </c>
      <c r="L7" s="0"/>
    </row>
    <row r="8">
      <c r="A8" s="0" t="inlineStr">
        <is>
          <t xml:space="preserve">Sat 7 Feb</t>
        </is>
      </c>
      <c r="B8" s="11">
        <v>1</v>
      </c>
      <c r="C8" s="6">
        <v>2</v>
      </c>
      <c r="D8" s="7">
        <f>IFERROR(C8*Summary!$E$14,"")</f>
      </c>
      <c r="E8" s="0"/>
      <c r="F8" s="0"/>
      <c r="G8" s="6">
        <v>27</v>
      </c>
      <c r="H8" s="0"/>
      <c r="I8" s="6">
        <v>55</v>
      </c>
      <c r="J8" s="0"/>
      <c r="K8" s="6">
        <v>6</v>
      </c>
      <c r="L8" s="0"/>
    </row>
    <row r="9">
      <c r="A9" s="0" t="inlineStr">
        <is>
          <t xml:space="preserve">Sun 8 Feb</t>
        </is>
      </c>
      <c r="B9" s="11">
        <v>1</v>
      </c>
      <c r="C9" s="6">
        <v>2</v>
      </c>
      <c r="D9" s="7">
        <f>IFERROR(C9*Summary!$E$14,"")</f>
      </c>
      <c r="E9" s="0"/>
      <c r="F9" s="0"/>
      <c r="G9" s="6">
        <v>27</v>
      </c>
      <c r="H9" s="0"/>
      <c r="I9" s="6">
        <v>55</v>
      </c>
      <c r="J9" s="0"/>
      <c r="K9" s="6">
        <v>6</v>
      </c>
      <c r="L9" s="0"/>
    </row>
    <row r="10">
      <c r="A10" s="0" t="inlineStr">
        <is>
          <t xml:space="preserve">Mon 9 Feb</t>
        </is>
      </c>
      <c r="B10" s="11">
        <v>1</v>
      </c>
      <c r="C10" s="6">
        <v>2</v>
      </c>
      <c r="D10" s="7">
        <f>IFERROR(C10*Summary!$E$14,"")</f>
      </c>
      <c r="E10" s="0"/>
      <c r="F10" s="0"/>
      <c r="G10" s="6">
        <v>27</v>
      </c>
      <c r="H10" s="0"/>
      <c r="I10" s="6">
        <v>55</v>
      </c>
      <c r="J10" s="0"/>
      <c r="K10" s="6">
        <v>6</v>
      </c>
      <c r="L10" s="0"/>
    </row>
    <row r="11">
      <c r="A11" s="0" t="inlineStr">
        <is>
          <t xml:space="preserve">Tue 10 Feb</t>
        </is>
      </c>
      <c r="B11" s="11">
        <v>1</v>
      </c>
      <c r="C11" s="6">
        <v>2</v>
      </c>
      <c r="D11" s="7">
        <f>IFERROR(C11*Summary!$E$14,"")</f>
      </c>
      <c r="E11" s="0"/>
      <c r="F11" s="0"/>
      <c r="G11" s="6">
        <v>27</v>
      </c>
      <c r="H11" s="0"/>
      <c r="I11" s="6">
        <v>55</v>
      </c>
      <c r="J11" s="0"/>
      <c r="K11" s="6">
        <v>6</v>
      </c>
      <c r="L11" s="0"/>
    </row>
    <row r="12">
      <c r="A12" s="8" t="inlineStr">
        <is>
          <t xml:space="preserve">Week total / average</t>
        </is>
      </c>
      <c r="B12" s="12">
        <f>SUM(B5:B11)</f>
      </c>
      <c r="C12" s="9">
        <f>SUM(C5:C11)</f>
      </c>
      <c r="D12" s="9">
        <f>SUM(D5:D11)</f>
      </c>
      <c r="E12" s="9">
        <f>SUM(E5:E11)</f>
      </c>
      <c r="F12" s="9">
        <f>IFERROR(AVERAGE(F5:F11),"")</f>
      </c>
      <c r="G12" s="9">
        <f>IFERROR(AVERAGE(G5:G11),"")</f>
      </c>
      <c r="H12" s="9">
        <f>IFERROR(AVERAGE(H5:H11),"")</f>
      </c>
      <c r="I12" s="9">
        <f>IFERROR(AVERAGE(I5:I11),"")</f>
      </c>
      <c r="J12" s="9">
        <f>IFERROR(AVERAGE(J5:J11),"")</f>
      </c>
      <c r="K12" s="9">
        <f>SUM(K5:K11)</f>
      </c>
      <c r="L12" s="8"/>
    </row>
  </sheetData>
</worksheet>
</file>

<file path=xl/worksheets/sheet5.xml><?xml version="1.0" encoding="utf-8"?>
<worksheet xmlns="http://schemas.openxmlformats.org/spreadsheetml/2006/main">
  <cols>
    <col min="1" max="1" width="16" customWidth="1"/>
    <col min="2" max="2" width="14" customWidth="1"/>
    <col min="3" max="3" width="14" customWidth="1"/>
    <col min="4" max="4" width="15" customWidth="1"/>
    <col min="5" max="5" width="17" customWidth="1"/>
    <col min="6" max="6" width="16" customWidth="1"/>
    <col min="7" max="7" width="15" customWidth="1"/>
    <col min="8" max="8" width="13" customWidth="1"/>
  </cols>
  <sheetData>
    <row r="1">
      <c r="A1" s="1" t="inlineStr">
        <is>
          <t xml:space="preserve">Weather: area forecast vs in the tubs</t>
        </is>
      </c>
    </row>
    <row r="2">
      <c r="A2" s="10" t="inlineStr">
        <is>
          <t xml:space="preserve">Area = the weather app (Open-Meteo), which is the same for the whole farm. Tubs = the DHT11 sensors, averaged across the zones that reported.</t>
        </is>
      </c>
    </row>
    <row r="4">
      <c r="A4" s="4" t="inlineStr">
        <is>
          <t xml:space="preserve">Date</t>
        </is>
      </c>
      <c r="B4" s="4" t="inlineStr">
        <is>
          <t xml:space="preserve">Area max °C</t>
        </is>
      </c>
      <c r="C4" s="4" t="inlineStr">
        <is>
          <t xml:space="preserve">Tubs max °C</t>
        </is>
      </c>
      <c r="D4" s="4" t="inlineStr">
        <is>
          <t xml:space="preserve">Difference °C</t>
        </is>
      </c>
      <c r="E4" s="4" t="inlineStr">
        <is>
          <t xml:space="preserve">Area humidity %</t>
        </is>
      </c>
      <c r="F4" s="4" t="inlineStr">
        <is>
          <t xml:space="preserve">Tubs humidity %</t>
        </is>
      </c>
      <c r="G4" s="4" t="inlineStr">
        <is>
          <t xml:space="preserve">Difference %</t>
        </is>
      </c>
      <c r="H4" s="4" t="inlineStr">
        <is>
          <t xml:space="preserve">Rain (mm)</t>
        </is>
      </c>
    </row>
    <row r="5">
      <c r="A5" s="0" t="inlineStr">
        <is>
          <t xml:space="preserve">Wed 4 Feb</t>
        </is>
      </c>
      <c r="B5" s="6">
        <v>27</v>
      </c>
      <c r="C5" s="0"/>
      <c r="D5" s="6">
        <f>IFERROR(C5-B5,"")</f>
      </c>
      <c r="E5" s="6">
        <v>55</v>
      </c>
      <c r="F5" s="0"/>
      <c r="G5" s="6">
        <f>IFERROR(F5-E5,"")</f>
      </c>
      <c r="H5" s="6">
        <v>0</v>
      </c>
    </row>
    <row r="6">
      <c r="A6" s="0" t="inlineStr">
        <is>
          <t xml:space="preserve">Thu 5 Feb</t>
        </is>
      </c>
      <c r="B6" s="6">
        <v>27</v>
      </c>
      <c r="C6" s="0"/>
      <c r="D6" s="6">
        <f>IFERROR(C6-B6,"")</f>
      </c>
      <c r="E6" s="6">
        <v>55</v>
      </c>
      <c r="F6" s="0"/>
      <c r="G6" s="6">
        <f>IFERROR(F6-E6,"")</f>
      </c>
      <c r="H6" s="6">
        <v>0</v>
      </c>
    </row>
    <row r="7">
      <c r="A7" s="0" t="inlineStr">
        <is>
          <t xml:space="preserve">Fri 6 Feb</t>
        </is>
      </c>
      <c r="B7" s="6">
        <v>27</v>
      </c>
      <c r="C7" s="0"/>
      <c r="D7" s="6">
        <f>IFERROR(C7-B7,"")</f>
      </c>
      <c r="E7" s="6">
        <v>55</v>
      </c>
      <c r="F7" s="0"/>
      <c r="G7" s="6">
        <f>IFERROR(F7-E7,"")</f>
      </c>
      <c r="H7" s="6">
        <v>0</v>
      </c>
    </row>
    <row r="8">
      <c r="A8" s="0" t="inlineStr">
        <is>
          <t xml:space="preserve">Sat 7 Feb</t>
        </is>
      </c>
      <c r="B8" s="6">
        <v>27</v>
      </c>
      <c r="C8" s="0"/>
      <c r="D8" s="6">
        <f>IFERROR(C8-B8,"")</f>
      </c>
      <c r="E8" s="6">
        <v>55</v>
      </c>
      <c r="F8" s="0"/>
      <c r="G8" s="6">
        <f>IFERROR(F8-E8,"")</f>
      </c>
      <c r="H8" s="6">
        <v>0</v>
      </c>
    </row>
    <row r="9">
      <c r="A9" s="0" t="inlineStr">
        <is>
          <t xml:space="preserve">Sun 8 Feb</t>
        </is>
      </c>
      <c r="B9" s="6">
        <v>27</v>
      </c>
      <c r="C9" s="0"/>
      <c r="D9" s="6">
        <f>IFERROR(C9-B9,"")</f>
      </c>
      <c r="E9" s="6">
        <v>55</v>
      </c>
      <c r="F9" s="0"/>
      <c r="G9" s="6">
        <f>IFERROR(F9-E9,"")</f>
      </c>
      <c r="H9" s="6">
        <v>0</v>
      </c>
    </row>
    <row r="10">
      <c r="A10" s="0" t="inlineStr">
        <is>
          <t xml:space="preserve">Mon 9 Feb</t>
        </is>
      </c>
      <c r="B10" s="6">
        <v>27</v>
      </c>
      <c r="C10" s="0"/>
      <c r="D10" s="6">
        <f>IFERROR(C10-B10,"")</f>
      </c>
      <c r="E10" s="6">
        <v>55</v>
      </c>
      <c r="F10" s="0"/>
      <c r="G10" s="6">
        <f>IFERROR(F10-E10,"")</f>
      </c>
      <c r="H10" s="6">
        <v>0</v>
      </c>
    </row>
    <row r="11">
      <c r="A11" s="0" t="inlineStr">
        <is>
          <t xml:space="preserve">Tue 10 Feb</t>
        </is>
      </c>
      <c r="B11" s="6">
        <v>27</v>
      </c>
      <c r="C11" s="0"/>
      <c r="D11" s="6">
        <f>IFERROR(C11-B11,"")</f>
      </c>
      <c r="E11" s="6">
        <v>55</v>
      </c>
      <c r="F11" s="0"/>
      <c r="G11" s="6">
        <f>IFERROR(F11-E11,"")</f>
      </c>
      <c r="H11" s="6">
        <v>0</v>
      </c>
    </row>
    <row r="12">
      <c r="A12" s="8" t="inlineStr">
        <is>
          <t xml:space="preserve">Average</t>
        </is>
      </c>
      <c r="B12" s="9">
        <f>IFERROR(AVERAGE(B5:B11),"")</f>
      </c>
      <c r="C12" s="9">
        <f>IFERROR(AVERAGE(C5:C11),"")</f>
      </c>
      <c r="D12" s="9">
        <f>IFERROR(AVERAGE(D5:D11),"")</f>
      </c>
      <c r="E12" s="9">
        <f>IFERROR(AVERAGE(E5:E11),"")</f>
      </c>
      <c r="F12" s="9">
        <f>IFERROR(AVERAGE(F5:F11),"")</f>
      </c>
      <c r="G12" s="9">
        <f>IFERROR(AVERAGE(G5:G11),"")</f>
      </c>
      <c r="H12" s="9">
        <f>SUM(H5:H11)</f>
      </c>
    </row>
  </sheetData>
</worksheet>
</file>